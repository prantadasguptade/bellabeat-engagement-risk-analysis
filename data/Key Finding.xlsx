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ower Bi\Google Analytics Certificate\Capestone Project\"/>
    </mc:Choice>
  </mc:AlternateContent>
  <xr:revisionPtr revIDLastSave="0" documentId="8_{02C1FDB3-0F97-4269-9365-BE3E028141C2}" xr6:coauthVersionLast="47" xr6:coauthVersionMax="47" xr10:uidLastSave="{00000000-0000-0000-0000-000000000000}"/>
  <bookViews>
    <workbookView xWindow="-120" yWindow="-120" windowWidth="20730" windowHeight="11160" activeTab="3" xr2:uid="{B1C1892B-8024-4509-B33F-07F2FDC4E86D}"/>
  </bookViews>
  <sheets>
    <sheet name="Risk Score" sheetId="1" r:id="rId1"/>
    <sheet name="User Sleep" sheetId="3" r:id="rId2"/>
    <sheet name="Sedantary Report" sheetId="2" r:id="rId3"/>
    <sheet name="Key Finding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</calcChain>
</file>

<file path=xl/sharedStrings.xml><?xml version="1.0" encoding="utf-8"?>
<sst xmlns="http://schemas.openxmlformats.org/spreadsheetml/2006/main" count="57" uniqueCount="22">
  <si>
    <t>Id</t>
  </si>
  <si>
    <t>early_days</t>
  </si>
  <si>
    <t>late_days</t>
  </si>
  <si>
    <t>early_steps</t>
  </si>
  <si>
    <t>late_steps</t>
  </si>
  <si>
    <t>avg_sedentary_mins</t>
  </si>
  <si>
    <t>step_decline_pct</t>
  </si>
  <si>
    <t>engagement_risk</t>
  </si>
  <si>
    <t>High Risk</t>
  </si>
  <si>
    <t>Low Risk</t>
  </si>
  <si>
    <t>Medium Risk</t>
  </si>
  <si>
    <t>total_days_logged</t>
  </si>
  <si>
    <t>avg_sleep_hrs</t>
  </si>
  <si>
    <t>sleep_records</t>
  </si>
  <si>
    <t>Avg early steps</t>
  </si>
  <si>
    <t>Avg late steps</t>
  </si>
  <si>
    <t>Days logged (late)</t>
  </si>
  <si>
    <t>Sleep decline %</t>
  </si>
  <si>
    <t>Metrics</t>
  </si>
  <si>
    <t xml:space="preserve">Users </t>
  </si>
  <si>
    <t>Step Change %</t>
  </si>
  <si>
    <t>Sleep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</si>
</sst>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418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A37CF-014A-4DE4-9BF3-3B3C861C37DA}" name="risk_score" displayName="risk_score" ref="A1:J33" totalsRowShown="0">
  <autoFilter ref="A1:J33" xr:uid="{7FCA37CF-014A-4DE4-9BF3-3B3C861C37DA}">
    <filterColumn colId="7">
      <filters>
        <filter val="Medium Risk"/>
      </filters>
    </filterColumn>
  </autoFilter>
  <tableColumns count="10">
    <tableColumn id="1" xr3:uid="{895B6046-4FEE-4905-BACB-8A72223AE875}" name="Id"/>
    <tableColumn id="2" xr3:uid="{017548A7-B60D-4A0F-9B7B-1EE70817B75D}" name="early_days"/>
    <tableColumn id="3" xr3:uid="{A9C8B560-3F66-4F91-A916-AF4B1657CDDA}" name="late_days"/>
    <tableColumn id="4" xr3:uid="{1F1FD974-404B-4B71-996C-CD786EE55907}" name="early_steps"/>
    <tableColumn id="5" xr3:uid="{B1785DDA-D0A7-48CC-A064-635B69D92388}" name="late_steps"/>
    <tableColumn id="6" xr3:uid="{AAB59A7A-777A-4AE0-8163-8FE95FBEDBCC}" name="avg_sedentary_mins"/>
    <tableColumn id="7" xr3:uid="{4C3206D9-B6A5-46A1-8CCA-989A6E162876}" name="step_decline_pct"/>
    <tableColumn id="8" xr3:uid="{36C2B6D5-C922-4876-85F7-245040B2BB87}" name="engagement_risk"/>
    <tableColumn id="9" xr3:uid="{27AEE2AD-C243-453A-8F91-2B5CB324FB5E}" name="Sleep decline %" dataDxfId="1">
      <calculatedColumnFormula>IFERROR(VLOOKUP(risk_score[[#This Row],[Id]], sleep_data[#All], 2, FALSE), "No data")</calculatedColumnFormula>
    </tableColumn>
    <tableColumn id="10" xr3:uid="{EBD5D48F-B4AA-49BF-9758-7E5014487765}" name="Days logged (late)" dataDxfId="0">
      <calculatedColumnFormula xml:space="preserve"> IFERROR(VLOOKUP(risk_score[[#This Row],[Id]], sedentary_data[#All], 2, FALSE), "No data")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1D851F-AD68-41D3-96F9-D3233309E126}" name="sleep_data" displayName="sleep_data" ref="A1:C25" totalsRowShown="0">
  <autoFilter ref="A1:C25" xr:uid="{DF1D851F-AD68-41D3-96F9-D3233309E126}"/>
  <tableColumns count="3">
    <tableColumn id="1" xr3:uid="{7BDDFC24-58D7-4F2C-988A-F51AF1F424A1}" name="Id"/>
    <tableColumn id="2" xr3:uid="{0CC3DD63-E0B9-4217-8BB7-3FE3E725F61A}" name="avg_sleep_hrs"/>
    <tableColumn id="3" xr3:uid="{4C20E232-192B-481A-832A-981E433611D5}" name="sleep_record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B8ED35-3D3F-4447-B5DA-31B2FDC2C848}" name="sedentary_data" displayName="sedentary_data" ref="A1:C34" totalsRowShown="0">
  <autoFilter ref="A1:C34" xr:uid="{60B8ED35-3D3F-4447-B5DA-31B2FDC2C848}"/>
  <tableColumns count="3">
    <tableColumn id="1" xr3:uid="{9EA44904-D4B2-4FAB-B67D-5C64DC905CDD}" name="Id"/>
    <tableColumn id="2" xr3:uid="{6584A40E-434C-4105-B11E-E853543E57FF}" name="avg_sedentary_mins"/>
    <tableColumn id="3" xr3:uid="{FFB5667B-C068-41FE-8D9E-D57BDBCACB6A}" name="total_days_logg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8A8D-1E1C-4C39-B40C-E6F391EA5B64}">
  <dimension ref="A1:J33"/>
  <sheetViews>
    <sheetView workbookViewId="0">
      <selection activeCell="I1" sqref="I1:I1048576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1.7109375" bestFit="1" customWidth="1"/>
    <col min="4" max="4" width="13.28515625" customWidth="1"/>
    <col min="5" max="5" width="12.28515625" customWidth="1"/>
    <col min="6" max="6" width="21.28515625" customWidth="1"/>
    <col min="7" max="7" width="18.28515625" customWidth="1"/>
    <col min="8" max="8" width="18.42578125" customWidth="1"/>
    <col min="9" max="9" width="16.42578125" bestFit="1" customWidth="1"/>
    <col min="10" max="10" width="19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16</v>
      </c>
    </row>
    <row r="2" spans="1:10" hidden="1" x14ac:dyDescent="0.25">
      <c r="A2">
        <v>2347167796</v>
      </c>
      <c r="B2">
        <v>15</v>
      </c>
      <c r="C2">
        <v>3</v>
      </c>
      <c r="D2">
        <v>10296.700000000001</v>
      </c>
      <c r="E2">
        <v>5634.7</v>
      </c>
      <c r="G2">
        <v>45.3</v>
      </c>
      <c r="H2" t="s">
        <v>8</v>
      </c>
      <c r="I2">
        <f>IFERROR(VLOOKUP(risk_score[[#This Row],[Id]], sleep_data[#All], 2, FALSE), "No data")</f>
        <v>7.45</v>
      </c>
      <c r="J2" s="1">
        <f xml:space="preserve"> IFERROR(VLOOKUP(risk_score[[#This Row],[Id]], sedentary_data[#All], 2, FALSE), "No data")</f>
        <v>0</v>
      </c>
    </row>
    <row r="3" spans="1:10" hidden="1" x14ac:dyDescent="0.25">
      <c r="A3">
        <v>8253242879</v>
      </c>
      <c r="B3">
        <v>15</v>
      </c>
      <c r="C3">
        <v>4</v>
      </c>
      <c r="D3">
        <v>6930.1</v>
      </c>
      <c r="E3">
        <v>4802.5</v>
      </c>
      <c r="G3">
        <v>30.7</v>
      </c>
      <c r="H3" t="s">
        <v>8</v>
      </c>
      <c r="I3" t="str">
        <f>IFERROR(VLOOKUP(risk_score[[#This Row],[Id]], sleep_data[#All], 2, FALSE), "No data")</f>
        <v>No data</v>
      </c>
      <c r="J3">
        <f xml:space="preserve"> IFERROR(VLOOKUP(risk_score[[#This Row],[Id]], sedentary_data[#All], 2, FALSE), "No data")</f>
        <v>0</v>
      </c>
    </row>
    <row r="4" spans="1:10" hidden="1" x14ac:dyDescent="0.25">
      <c r="A4">
        <v>3372868164</v>
      </c>
      <c r="B4">
        <v>15</v>
      </c>
      <c r="C4">
        <v>5</v>
      </c>
      <c r="D4">
        <v>7090.3</v>
      </c>
      <c r="E4">
        <v>6175.6</v>
      </c>
      <c r="G4">
        <v>12.9</v>
      </c>
      <c r="H4" t="s">
        <v>8</v>
      </c>
      <c r="I4" t="str">
        <f>IFERROR(VLOOKUP(risk_score[[#This Row],[Id]], sleep_data[#All], 2, FALSE), "No data")</f>
        <v>No data</v>
      </c>
      <c r="J4">
        <f xml:space="preserve"> IFERROR(VLOOKUP(risk_score[[#This Row],[Id]], sedentary_data[#All], 2, FALSE), "No data")</f>
        <v>0</v>
      </c>
    </row>
    <row r="5" spans="1:10" hidden="1" x14ac:dyDescent="0.25">
      <c r="A5">
        <v>7007744171</v>
      </c>
      <c r="B5">
        <v>15</v>
      </c>
      <c r="C5">
        <v>11</v>
      </c>
      <c r="D5">
        <v>12152.8</v>
      </c>
      <c r="E5">
        <v>10192.5</v>
      </c>
      <c r="G5">
        <v>16.100000000000001</v>
      </c>
      <c r="H5" t="s">
        <v>9</v>
      </c>
      <c r="I5">
        <f>IFERROR(VLOOKUP(risk_score[[#This Row],[Id]], sleep_data[#All], 2, FALSE), "No data")</f>
        <v>1.1399999999999999</v>
      </c>
      <c r="J5">
        <f xml:space="preserve"> IFERROR(VLOOKUP(risk_score[[#This Row],[Id]], sedentary_data[#All], 2, FALSE), "No data")</f>
        <v>0</v>
      </c>
    </row>
    <row r="6" spans="1:10" x14ac:dyDescent="0.25">
      <c r="A6">
        <v>6775888955</v>
      </c>
      <c r="B6">
        <v>15</v>
      </c>
      <c r="C6">
        <v>11</v>
      </c>
      <c r="D6">
        <v>3543.1</v>
      </c>
      <c r="E6">
        <v>1124.2</v>
      </c>
      <c r="G6">
        <v>68.3</v>
      </c>
      <c r="H6" t="s">
        <v>10</v>
      </c>
      <c r="I6">
        <f>IFERROR(VLOOKUP(risk_score[[#This Row],[Id]], sleep_data[#All], 2, FALSE), "No data")</f>
        <v>5.83</v>
      </c>
      <c r="J6">
        <f xml:space="preserve"> IFERROR(VLOOKUP(risk_score[[#This Row],[Id]], sedentary_data[#All], 2, FALSE), "No data")</f>
        <v>0</v>
      </c>
    </row>
    <row r="7" spans="1:10" x14ac:dyDescent="0.25">
      <c r="A7">
        <v>6117666160</v>
      </c>
      <c r="B7">
        <v>15</v>
      </c>
      <c r="C7">
        <v>13</v>
      </c>
      <c r="D7">
        <v>7917.7</v>
      </c>
      <c r="E7">
        <v>6041.8</v>
      </c>
      <c r="G7">
        <v>23.7</v>
      </c>
      <c r="H7" t="s">
        <v>10</v>
      </c>
      <c r="I7">
        <f>IFERROR(VLOOKUP(risk_score[[#This Row],[Id]], sleep_data[#All], 2, FALSE), "No data")</f>
        <v>7.98</v>
      </c>
      <c r="J7">
        <f xml:space="preserve"> IFERROR(VLOOKUP(risk_score[[#This Row],[Id]], sedentary_data[#All], 2, FALSE), "No data")</f>
        <v>0</v>
      </c>
    </row>
    <row r="8" spans="1:10" hidden="1" x14ac:dyDescent="0.25">
      <c r="A8">
        <v>8792009665</v>
      </c>
      <c r="B8">
        <v>15</v>
      </c>
      <c r="C8">
        <v>14</v>
      </c>
      <c r="D8">
        <v>1477</v>
      </c>
      <c r="E8">
        <v>2257.4</v>
      </c>
      <c r="G8">
        <v>-52.8</v>
      </c>
      <c r="H8" t="s">
        <v>9</v>
      </c>
      <c r="I8">
        <f>IFERROR(VLOOKUP(risk_score[[#This Row],[Id]], sleep_data[#All], 2, FALSE), "No data")</f>
        <v>7.26</v>
      </c>
      <c r="J8">
        <f xml:space="preserve"> IFERROR(VLOOKUP(risk_score[[#This Row],[Id]], sedentary_data[#All], 2, FALSE), "No data")</f>
        <v>0</v>
      </c>
    </row>
    <row r="9" spans="1:10" hidden="1" x14ac:dyDescent="0.25">
      <c r="A9">
        <v>6290855005</v>
      </c>
      <c r="B9">
        <v>15</v>
      </c>
      <c r="C9">
        <v>14</v>
      </c>
      <c r="D9">
        <v>5690.1</v>
      </c>
      <c r="E9">
        <v>5606.1</v>
      </c>
      <c r="G9">
        <v>1.5</v>
      </c>
      <c r="H9" t="s">
        <v>9</v>
      </c>
      <c r="I9" t="str">
        <f>IFERROR(VLOOKUP(risk_score[[#This Row],[Id]], sleep_data[#All], 2, FALSE), "No data")</f>
        <v>No data</v>
      </c>
      <c r="J9">
        <f xml:space="preserve"> IFERROR(VLOOKUP(risk_score[[#This Row],[Id]], sedentary_data[#All], 2, FALSE), "No data")</f>
        <v>0</v>
      </c>
    </row>
    <row r="10" spans="1:10" hidden="1" x14ac:dyDescent="0.25">
      <c r="A10">
        <v>1644430081</v>
      </c>
      <c r="B10">
        <v>15</v>
      </c>
      <c r="C10">
        <v>15</v>
      </c>
      <c r="D10">
        <v>7215.3</v>
      </c>
      <c r="E10">
        <v>7350.7</v>
      </c>
      <c r="G10">
        <v>-1.9</v>
      </c>
      <c r="H10" t="s">
        <v>9</v>
      </c>
      <c r="I10">
        <f>IFERROR(VLOOKUP(risk_score[[#This Row],[Id]], sleep_data[#All], 2, FALSE), "No data")</f>
        <v>4.9000000000000004</v>
      </c>
      <c r="J10">
        <f xml:space="preserve"> IFERROR(VLOOKUP(risk_score[[#This Row],[Id]], sedentary_data[#All], 2, FALSE), "No data")</f>
        <v>0</v>
      </c>
    </row>
    <row r="11" spans="1:10" x14ac:dyDescent="0.25">
      <c r="A11">
        <v>5577150313</v>
      </c>
      <c r="B11">
        <v>15</v>
      </c>
      <c r="C11">
        <v>15</v>
      </c>
      <c r="D11">
        <v>9754.2999999999993</v>
      </c>
      <c r="E11">
        <v>6854.6</v>
      </c>
      <c r="G11">
        <v>29.7</v>
      </c>
      <c r="H11" t="s">
        <v>10</v>
      </c>
      <c r="I11">
        <f>IFERROR(VLOOKUP(risk_score[[#This Row],[Id]], sleep_data[#All], 2, FALSE), "No data")</f>
        <v>7.2</v>
      </c>
      <c r="J11">
        <f xml:space="preserve"> IFERROR(VLOOKUP(risk_score[[#This Row],[Id]], sedentary_data[#All], 2, FALSE), "No data")</f>
        <v>0</v>
      </c>
    </row>
    <row r="12" spans="1:10" hidden="1" x14ac:dyDescent="0.25">
      <c r="A12">
        <v>3977333714</v>
      </c>
      <c r="B12">
        <v>15</v>
      </c>
      <c r="C12">
        <v>15</v>
      </c>
      <c r="D12">
        <v>10592.7</v>
      </c>
      <c r="E12">
        <v>11376.5</v>
      </c>
      <c r="G12">
        <v>-7.4</v>
      </c>
      <c r="H12" t="s">
        <v>9</v>
      </c>
      <c r="I12">
        <f>IFERROR(VLOOKUP(risk_score[[#This Row],[Id]], sleep_data[#All], 2, FALSE), "No data")</f>
        <v>4.8899999999999997</v>
      </c>
      <c r="J12">
        <f xml:space="preserve"> IFERROR(VLOOKUP(risk_score[[#This Row],[Id]], sedentary_data[#All], 2, FALSE), "No data")</f>
        <v>0</v>
      </c>
    </row>
    <row r="13" spans="1:10" hidden="1" x14ac:dyDescent="0.25">
      <c r="A13">
        <v>1624580081</v>
      </c>
      <c r="B13">
        <v>15</v>
      </c>
      <c r="C13">
        <v>16</v>
      </c>
      <c r="D13">
        <v>6004.7</v>
      </c>
      <c r="E13">
        <v>5499.4</v>
      </c>
      <c r="G13">
        <v>8.4</v>
      </c>
      <c r="H13" t="s">
        <v>9</v>
      </c>
      <c r="I13" t="str">
        <f>IFERROR(VLOOKUP(risk_score[[#This Row],[Id]], sleep_data[#All], 2, FALSE), "No data")</f>
        <v>No data</v>
      </c>
      <c r="J13">
        <f xml:space="preserve"> IFERROR(VLOOKUP(risk_score[[#This Row],[Id]], sedentary_data[#All], 2, FALSE), "No data")</f>
        <v>0</v>
      </c>
    </row>
    <row r="14" spans="1:10" hidden="1" x14ac:dyDescent="0.25">
      <c r="A14">
        <v>4319703577</v>
      </c>
      <c r="B14">
        <v>15</v>
      </c>
      <c r="C14">
        <v>16</v>
      </c>
      <c r="D14">
        <v>6209</v>
      </c>
      <c r="E14">
        <v>8262.4</v>
      </c>
      <c r="G14">
        <v>-33.1</v>
      </c>
      <c r="H14" t="s">
        <v>9</v>
      </c>
      <c r="I14">
        <f>IFERROR(VLOOKUP(risk_score[[#This Row],[Id]], sleep_data[#All], 2, FALSE), "No data")</f>
        <v>7.94</v>
      </c>
      <c r="J14">
        <f xml:space="preserve"> IFERROR(VLOOKUP(risk_score[[#This Row],[Id]], sedentary_data[#All], 2, FALSE), "No data")</f>
        <v>0</v>
      </c>
    </row>
    <row r="15" spans="1:10" hidden="1" x14ac:dyDescent="0.25">
      <c r="A15">
        <v>4388161847</v>
      </c>
      <c r="B15">
        <v>15</v>
      </c>
      <c r="C15">
        <v>16</v>
      </c>
      <c r="D15">
        <v>9987.6</v>
      </c>
      <c r="E15">
        <v>11588.6</v>
      </c>
      <c r="G15">
        <v>-16</v>
      </c>
      <c r="H15" t="s">
        <v>9</v>
      </c>
      <c r="I15">
        <f>IFERROR(VLOOKUP(risk_score[[#This Row],[Id]], sleep_data[#All], 2, FALSE), "No data")</f>
        <v>6.72</v>
      </c>
      <c r="J15">
        <f xml:space="preserve"> IFERROR(VLOOKUP(risk_score[[#This Row],[Id]], sedentary_data[#All], 2, FALSE), "No data")</f>
        <v>0</v>
      </c>
    </row>
    <row r="16" spans="1:10" hidden="1" x14ac:dyDescent="0.25">
      <c r="A16">
        <v>4445114986</v>
      </c>
      <c r="B16">
        <v>15</v>
      </c>
      <c r="C16">
        <v>16</v>
      </c>
      <c r="D16">
        <v>4241.8999999999996</v>
      </c>
      <c r="E16">
        <v>5316.5</v>
      </c>
      <c r="G16">
        <v>-25.3</v>
      </c>
      <c r="H16" t="s">
        <v>9</v>
      </c>
      <c r="I16">
        <f>IFERROR(VLOOKUP(risk_score[[#This Row],[Id]], sleep_data[#All], 2, FALSE), "No data")</f>
        <v>6.42</v>
      </c>
      <c r="J16">
        <f xml:space="preserve"> IFERROR(VLOOKUP(risk_score[[#This Row],[Id]], sedentary_data[#All], 2, FALSE), "No data")</f>
        <v>0</v>
      </c>
    </row>
    <row r="17" spans="1:10" hidden="1" x14ac:dyDescent="0.25">
      <c r="A17">
        <v>4558609924</v>
      </c>
      <c r="B17">
        <v>15</v>
      </c>
      <c r="C17">
        <v>16</v>
      </c>
      <c r="D17">
        <v>7787.6</v>
      </c>
      <c r="E17">
        <v>7589.1</v>
      </c>
      <c r="G17">
        <v>2.5</v>
      </c>
      <c r="H17" t="s">
        <v>9</v>
      </c>
      <c r="I17">
        <f>IFERROR(VLOOKUP(risk_score[[#This Row],[Id]], sleep_data[#All], 2, FALSE), "No data")</f>
        <v>2.13</v>
      </c>
      <c r="J17">
        <f xml:space="preserve"> IFERROR(VLOOKUP(risk_score[[#This Row],[Id]], sedentary_data[#All], 2, FALSE), "No data")</f>
        <v>0</v>
      </c>
    </row>
    <row r="18" spans="1:10" hidden="1" x14ac:dyDescent="0.25">
      <c r="A18">
        <v>4702921684</v>
      </c>
      <c r="B18">
        <v>15</v>
      </c>
      <c r="C18">
        <v>16</v>
      </c>
      <c r="D18">
        <v>8702.6</v>
      </c>
      <c r="E18">
        <v>8449.7000000000007</v>
      </c>
      <c r="G18">
        <v>2.9</v>
      </c>
      <c r="H18" t="s">
        <v>9</v>
      </c>
      <c r="I18">
        <f>IFERROR(VLOOKUP(risk_score[[#This Row],[Id]], sleep_data[#All], 2, FALSE), "No data")</f>
        <v>7.02</v>
      </c>
      <c r="J18">
        <f xml:space="preserve"> IFERROR(VLOOKUP(risk_score[[#This Row],[Id]], sedentary_data[#All], 2, FALSE), "No data")</f>
        <v>0</v>
      </c>
    </row>
    <row r="19" spans="1:10" hidden="1" x14ac:dyDescent="0.25">
      <c r="A19">
        <v>5553957443</v>
      </c>
      <c r="B19">
        <v>15</v>
      </c>
      <c r="C19">
        <v>16</v>
      </c>
      <c r="D19">
        <v>8742.2000000000007</v>
      </c>
      <c r="E19">
        <v>8491.1</v>
      </c>
      <c r="G19">
        <v>2.9</v>
      </c>
      <c r="H19" t="s">
        <v>9</v>
      </c>
      <c r="I19">
        <f>IFERROR(VLOOKUP(risk_score[[#This Row],[Id]], sleep_data[#All], 2, FALSE), "No data")</f>
        <v>7.72</v>
      </c>
      <c r="J19">
        <f xml:space="preserve"> IFERROR(VLOOKUP(risk_score[[#This Row],[Id]], sedentary_data[#All], 2, FALSE), "No data")</f>
        <v>0</v>
      </c>
    </row>
    <row r="20" spans="1:10" hidden="1" x14ac:dyDescent="0.25">
      <c r="A20">
        <v>4020332650</v>
      </c>
      <c r="B20">
        <v>15</v>
      </c>
      <c r="C20">
        <v>16</v>
      </c>
      <c r="D20">
        <v>839.3</v>
      </c>
      <c r="E20">
        <v>3605.9</v>
      </c>
      <c r="G20">
        <v>-329.7</v>
      </c>
      <c r="H20" t="s">
        <v>9</v>
      </c>
      <c r="I20">
        <f>IFERROR(VLOOKUP(risk_score[[#This Row],[Id]], sleep_data[#All], 2, FALSE), "No data")</f>
        <v>5.82</v>
      </c>
      <c r="J20">
        <f xml:space="preserve"> IFERROR(VLOOKUP(risk_score[[#This Row],[Id]], sedentary_data[#All], 2, FALSE), "No data")</f>
        <v>0</v>
      </c>
    </row>
    <row r="21" spans="1:10" hidden="1" x14ac:dyDescent="0.25">
      <c r="A21">
        <v>2873212765</v>
      </c>
      <c r="B21">
        <v>15</v>
      </c>
      <c r="C21">
        <v>16</v>
      </c>
      <c r="D21">
        <v>7858.5</v>
      </c>
      <c r="E21">
        <v>7272</v>
      </c>
      <c r="G21">
        <v>7.5</v>
      </c>
      <c r="H21" t="s">
        <v>9</v>
      </c>
      <c r="I21" t="str">
        <f>IFERROR(VLOOKUP(risk_score[[#This Row],[Id]], sleep_data[#All], 2, FALSE), "No data")</f>
        <v>No data</v>
      </c>
      <c r="J21">
        <f xml:space="preserve"> IFERROR(VLOOKUP(risk_score[[#This Row],[Id]], sedentary_data[#All], 2, FALSE), "No data")</f>
        <v>0</v>
      </c>
    </row>
    <row r="22" spans="1:10" x14ac:dyDescent="0.25">
      <c r="A22">
        <v>2320127002</v>
      </c>
      <c r="B22">
        <v>15</v>
      </c>
      <c r="C22">
        <v>16</v>
      </c>
      <c r="D22">
        <v>5560.6</v>
      </c>
      <c r="E22">
        <v>3925.9</v>
      </c>
      <c r="G22">
        <v>29.4</v>
      </c>
      <c r="H22" t="s">
        <v>10</v>
      </c>
      <c r="I22">
        <f>IFERROR(VLOOKUP(risk_score[[#This Row],[Id]], sleep_data[#All], 2, FALSE), "No data")</f>
        <v>1.02</v>
      </c>
      <c r="J22">
        <f xml:space="preserve"> IFERROR(VLOOKUP(risk_score[[#This Row],[Id]], sedentary_data[#All], 2, FALSE), "No data")</f>
        <v>0</v>
      </c>
    </row>
    <row r="23" spans="1:10" hidden="1" x14ac:dyDescent="0.25">
      <c r="A23">
        <v>6962181067</v>
      </c>
      <c r="B23">
        <v>15</v>
      </c>
      <c r="C23">
        <v>16</v>
      </c>
      <c r="D23">
        <v>10246.200000000001</v>
      </c>
      <c r="E23">
        <v>9371.6</v>
      </c>
      <c r="G23">
        <v>8.5</v>
      </c>
      <c r="H23" t="s">
        <v>9</v>
      </c>
      <c r="I23">
        <f>IFERROR(VLOOKUP(risk_score[[#This Row],[Id]], sleep_data[#All], 2, FALSE), "No data")</f>
        <v>7.47</v>
      </c>
      <c r="J23">
        <f xml:space="preserve"> IFERROR(VLOOKUP(risk_score[[#This Row],[Id]], sedentary_data[#All], 2, FALSE), "No data")</f>
        <v>0</v>
      </c>
    </row>
    <row r="24" spans="1:10" hidden="1" x14ac:dyDescent="0.25">
      <c r="A24">
        <v>2026352035</v>
      </c>
      <c r="B24">
        <v>15</v>
      </c>
      <c r="C24">
        <v>16</v>
      </c>
      <c r="D24">
        <v>4406.5</v>
      </c>
      <c r="E24">
        <v>6654.7</v>
      </c>
      <c r="G24">
        <v>-51</v>
      </c>
      <c r="H24" t="s">
        <v>9</v>
      </c>
      <c r="I24">
        <f>IFERROR(VLOOKUP(risk_score[[#This Row],[Id]], sleep_data[#All], 2, FALSE), "No data")</f>
        <v>8.44</v>
      </c>
      <c r="J24">
        <f xml:space="preserve"> IFERROR(VLOOKUP(risk_score[[#This Row],[Id]], sedentary_data[#All], 2, FALSE), "No data")</f>
        <v>0</v>
      </c>
    </row>
    <row r="25" spans="1:10" hidden="1" x14ac:dyDescent="0.25">
      <c r="A25">
        <v>7086361926</v>
      </c>
      <c r="B25">
        <v>15</v>
      </c>
      <c r="C25">
        <v>16</v>
      </c>
      <c r="D25">
        <v>7719.1</v>
      </c>
      <c r="E25">
        <v>10921.2</v>
      </c>
      <c r="G25">
        <v>-41.5</v>
      </c>
      <c r="H25" t="s">
        <v>9</v>
      </c>
      <c r="I25">
        <f>IFERROR(VLOOKUP(risk_score[[#This Row],[Id]], sleep_data[#All], 2, FALSE), "No data")</f>
        <v>7.55</v>
      </c>
      <c r="J25">
        <f xml:space="preserve"> IFERROR(VLOOKUP(risk_score[[#This Row],[Id]], sedentary_data[#All], 2, FALSE), "No data")</f>
        <v>0</v>
      </c>
    </row>
    <row r="26" spans="1:10" hidden="1" x14ac:dyDescent="0.25">
      <c r="A26">
        <v>2022484408</v>
      </c>
      <c r="B26">
        <v>15</v>
      </c>
      <c r="C26">
        <v>16</v>
      </c>
      <c r="D26">
        <v>11866.9</v>
      </c>
      <c r="E26">
        <v>10905.4</v>
      </c>
      <c r="G26">
        <v>8.1</v>
      </c>
      <c r="H26" t="s">
        <v>9</v>
      </c>
      <c r="I26" t="str">
        <f>IFERROR(VLOOKUP(risk_score[[#This Row],[Id]], sleep_data[#All], 2, FALSE), "No data")</f>
        <v>No data</v>
      </c>
      <c r="J26">
        <f xml:space="preserve"> IFERROR(VLOOKUP(risk_score[[#This Row],[Id]], sedentary_data[#All], 2, FALSE), "No data")</f>
        <v>0</v>
      </c>
    </row>
    <row r="27" spans="1:10" x14ac:dyDescent="0.25">
      <c r="A27">
        <v>8378563200</v>
      </c>
      <c r="B27">
        <v>15</v>
      </c>
      <c r="C27">
        <v>16</v>
      </c>
      <c r="D27">
        <v>10839.4</v>
      </c>
      <c r="E27">
        <v>6728.6</v>
      </c>
      <c r="G27">
        <v>37.9</v>
      </c>
      <c r="H27" t="s">
        <v>10</v>
      </c>
      <c r="I27">
        <f>IFERROR(VLOOKUP(risk_score[[#This Row],[Id]], sleep_data[#All], 2, FALSE), "No data")</f>
        <v>7.39</v>
      </c>
      <c r="J27">
        <f xml:space="preserve"> IFERROR(VLOOKUP(risk_score[[#This Row],[Id]], sedentary_data[#All], 2, FALSE), "No data")</f>
        <v>0</v>
      </c>
    </row>
    <row r="28" spans="1:10" hidden="1" x14ac:dyDescent="0.25">
      <c r="A28">
        <v>8583815059</v>
      </c>
      <c r="B28">
        <v>15</v>
      </c>
      <c r="C28">
        <v>16</v>
      </c>
      <c r="D28">
        <v>6016.5</v>
      </c>
      <c r="E28">
        <v>8306.7000000000007</v>
      </c>
      <c r="G28">
        <v>-38.1</v>
      </c>
      <c r="H28" t="s">
        <v>9</v>
      </c>
      <c r="I28" t="str">
        <f>IFERROR(VLOOKUP(risk_score[[#This Row],[Id]], sleep_data[#All], 2, FALSE), "No data")</f>
        <v>No data</v>
      </c>
      <c r="J28">
        <f xml:space="preserve"> IFERROR(VLOOKUP(risk_score[[#This Row],[Id]], sedentary_data[#All], 2, FALSE), "No data")</f>
        <v>0</v>
      </c>
    </row>
    <row r="29" spans="1:10" hidden="1" x14ac:dyDescent="0.25">
      <c r="A29">
        <v>1927972279</v>
      </c>
      <c r="B29">
        <v>15</v>
      </c>
      <c r="C29">
        <v>16</v>
      </c>
      <c r="D29">
        <v>901.2</v>
      </c>
      <c r="E29">
        <v>930.1</v>
      </c>
      <c r="G29">
        <v>-3.2</v>
      </c>
      <c r="H29" t="s">
        <v>9</v>
      </c>
      <c r="I29">
        <f>IFERROR(VLOOKUP(risk_score[[#This Row],[Id]], sleep_data[#All], 2, FALSE), "No data")</f>
        <v>6.95</v>
      </c>
      <c r="J29">
        <f xml:space="preserve"> IFERROR(VLOOKUP(risk_score[[#This Row],[Id]], sedentary_data[#All], 2, FALSE), "No data")</f>
        <v>0</v>
      </c>
    </row>
    <row r="30" spans="1:10" x14ac:dyDescent="0.25">
      <c r="A30">
        <v>1844505072</v>
      </c>
      <c r="B30">
        <v>15</v>
      </c>
      <c r="C30">
        <v>16</v>
      </c>
      <c r="D30">
        <v>3542.9</v>
      </c>
      <c r="E30">
        <v>1677.4</v>
      </c>
      <c r="G30">
        <v>52.7</v>
      </c>
      <c r="H30" t="s">
        <v>10</v>
      </c>
      <c r="I30">
        <f>IFERROR(VLOOKUP(risk_score[[#This Row],[Id]], sleep_data[#All], 2, FALSE), "No data")</f>
        <v>10.87</v>
      </c>
      <c r="J30">
        <f xml:space="preserve"> IFERROR(VLOOKUP(risk_score[[#This Row],[Id]], sedentary_data[#All], 2, FALSE), "No data")</f>
        <v>0</v>
      </c>
    </row>
    <row r="31" spans="1:10" hidden="1" x14ac:dyDescent="0.25">
      <c r="A31">
        <v>8877689391</v>
      </c>
      <c r="B31">
        <v>15</v>
      </c>
      <c r="C31">
        <v>16</v>
      </c>
      <c r="D31">
        <v>17151.3</v>
      </c>
      <c r="E31">
        <v>14998.2</v>
      </c>
      <c r="G31">
        <v>12.6</v>
      </c>
      <c r="H31" t="s">
        <v>9</v>
      </c>
      <c r="I31" t="str">
        <f>IFERROR(VLOOKUP(risk_score[[#This Row],[Id]], sleep_data[#All], 2, FALSE), "No data")</f>
        <v>No data</v>
      </c>
      <c r="J31">
        <f xml:space="preserve"> IFERROR(VLOOKUP(risk_score[[#This Row],[Id]], sedentary_data[#All], 2, FALSE), "No data")</f>
        <v>0</v>
      </c>
    </row>
    <row r="32" spans="1:10" hidden="1" x14ac:dyDescent="0.25">
      <c r="A32">
        <v>1503960366</v>
      </c>
      <c r="B32">
        <v>15</v>
      </c>
      <c r="C32">
        <v>16</v>
      </c>
      <c r="D32">
        <v>12111</v>
      </c>
      <c r="E32">
        <v>12122.1</v>
      </c>
      <c r="G32">
        <v>-0.1</v>
      </c>
      <c r="H32" t="s">
        <v>9</v>
      </c>
      <c r="I32">
        <f>IFERROR(VLOOKUP(risk_score[[#This Row],[Id]], sleep_data[#All], 2, FALSE), "No data")</f>
        <v>6</v>
      </c>
      <c r="J32">
        <f xml:space="preserve"> IFERROR(VLOOKUP(risk_score[[#This Row],[Id]], sedentary_data[#All], 2, FALSE), "No data")</f>
        <v>0</v>
      </c>
    </row>
    <row r="33" spans="1:10" x14ac:dyDescent="0.25">
      <c r="A33">
        <v>8053475328</v>
      </c>
      <c r="B33">
        <v>15</v>
      </c>
      <c r="C33">
        <v>16</v>
      </c>
      <c r="D33">
        <v>17461.3</v>
      </c>
      <c r="E33">
        <v>12233.9</v>
      </c>
      <c r="G33">
        <v>29.9</v>
      </c>
      <c r="H33" t="s">
        <v>10</v>
      </c>
      <c r="I33">
        <f>IFERROR(VLOOKUP(risk_score[[#This Row],[Id]], sleep_data[#All], 2, FALSE), "No data")</f>
        <v>4.95</v>
      </c>
      <c r="J33">
        <f xml:space="preserve"> IFERROR(VLOOKUP(risk_score[[#This Row],[Id]], sedentary_data[#All], 2, FALSE), "No data")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8FDB-66B7-4FCD-958A-7CA06EAF717A}">
  <dimension ref="A1:C25"/>
  <sheetViews>
    <sheetView workbookViewId="0">
      <selection activeCell="A8" sqref="A1:C25"/>
    </sheetView>
  </sheetViews>
  <sheetFormatPr defaultRowHeight="15" x14ac:dyDescent="0.25"/>
  <cols>
    <col min="1" max="1" width="11" bestFit="1" customWidth="1"/>
    <col min="2" max="2" width="15.7109375" customWidth="1"/>
    <col min="3" max="3" width="15.5703125" customWidth="1"/>
  </cols>
  <sheetData>
    <row r="1" spans="1:3" x14ac:dyDescent="0.25">
      <c r="A1" t="s">
        <v>0</v>
      </c>
      <c r="B1" t="s">
        <v>12</v>
      </c>
      <c r="C1" t="s">
        <v>13</v>
      </c>
    </row>
    <row r="2" spans="1:3" x14ac:dyDescent="0.25">
      <c r="A2">
        <v>1503960366</v>
      </c>
      <c r="B2">
        <v>6</v>
      </c>
      <c r="C2">
        <v>25</v>
      </c>
    </row>
    <row r="3" spans="1:3" x14ac:dyDescent="0.25">
      <c r="A3">
        <v>1644430081</v>
      </c>
      <c r="B3">
        <v>4.9000000000000004</v>
      </c>
      <c r="C3">
        <v>4</v>
      </c>
    </row>
    <row r="4" spans="1:3" x14ac:dyDescent="0.25">
      <c r="A4">
        <v>1844505072</v>
      </c>
      <c r="B4">
        <v>10.87</v>
      </c>
      <c r="C4">
        <v>3</v>
      </c>
    </row>
    <row r="5" spans="1:3" x14ac:dyDescent="0.25">
      <c r="A5">
        <v>1927972279</v>
      </c>
      <c r="B5">
        <v>6.95</v>
      </c>
      <c r="C5">
        <v>5</v>
      </c>
    </row>
    <row r="6" spans="1:3" x14ac:dyDescent="0.25">
      <c r="A6">
        <v>2026352035</v>
      </c>
      <c r="B6">
        <v>8.44</v>
      </c>
      <c r="C6">
        <v>28</v>
      </c>
    </row>
    <row r="7" spans="1:3" x14ac:dyDescent="0.25">
      <c r="A7">
        <v>2320127002</v>
      </c>
      <c r="B7">
        <v>1.02</v>
      </c>
      <c r="C7">
        <v>1</v>
      </c>
    </row>
    <row r="8" spans="1:3" x14ac:dyDescent="0.25">
      <c r="A8">
        <v>2347167796</v>
      </c>
      <c r="B8">
        <v>7.45</v>
      </c>
      <c r="C8">
        <v>15</v>
      </c>
    </row>
    <row r="9" spans="1:3" x14ac:dyDescent="0.25">
      <c r="A9">
        <v>3977333714</v>
      </c>
      <c r="B9">
        <v>4.8899999999999997</v>
      </c>
      <c r="C9">
        <v>28</v>
      </c>
    </row>
    <row r="10" spans="1:3" x14ac:dyDescent="0.25">
      <c r="A10">
        <v>4020332650</v>
      </c>
      <c r="B10">
        <v>5.82</v>
      </c>
      <c r="C10">
        <v>8</v>
      </c>
    </row>
    <row r="11" spans="1:3" x14ac:dyDescent="0.25">
      <c r="A11">
        <v>4319703577</v>
      </c>
      <c r="B11">
        <v>7.94</v>
      </c>
      <c r="C11">
        <v>26</v>
      </c>
    </row>
    <row r="12" spans="1:3" x14ac:dyDescent="0.25">
      <c r="A12">
        <v>4388161847</v>
      </c>
      <c r="B12">
        <v>6.72</v>
      </c>
      <c r="C12">
        <v>24</v>
      </c>
    </row>
    <row r="13" spans="1:3" x14ac:dyDescent="0.25">
      <c r="A13">
        <v>4445114986</v>
      </c>
      <c r="B13">
        <v>6.42</v>
      </c>
      <c r="C13">
        <v>28</v>
      </c>
    </row>
    <row r="14" spans="1:3" x14ac:dyDescent="0.25">
      <c r="A14">
        <v>4558609924</v>
      </c>
      <c r="B14">
        <v>2.13</v>
      </c>
      <c r="C14">
        <v>5</v>
      </c>
    </row>
    <row r="15" spans="1:3" x14ac:dyDescent="0.25">
      <c r="A15">
        <v>4702921684</v>
      </c>
      <c r="B15">
        <v>7.02</v>
      </c>
      <c r="C15">
        <v>28</v>
      </c>
    </row>
    <row r="16" spans="1:3" x14ac:dyDescent="0.25">
      <c r="A16">
        <v>5553957443</v>
      </c>
      <c r="B16">
        <v>7.72</v>
      </c>
      <c r="C16">
        <v>31</v>
      </c>
    </row>
    <row r="17" spans="1:3" x14ac:dyDescent="0.25">
      <c r="A17">
        <v>5577150313</v>
      </c>
      <c r="B17">
        <v>7.2</v>
      </c>
      <c r="C17">
        <v>26</v>
      </c>
    </row>
    <row r="18" spans="1:3" x14ac:dyDescent="0.25">
      <c r="A18">
        <v>6117666160</v>
      </c>
      <c r="B18">
        <v>7.98</v>
      </c>
      <c r="C18">
        <v>18</v>
      </c>
    </row>
    <row r="19" spans="1:3" x14ac:dyDescent="0.25">
      <c r="A19">
        <v>6775888955</v>
      </c>
      <c r="B19">
        <v>5.83</v>
      </c>
      <c r="C19">
        <v>3</v>
      </c>
    </row>
    <row r="20" spans="1:3" x14ac:dyDescent="0.25">
      <c r="A20">
        <v>6962181067</v>
      </c>
      <c r="B20">
        <v>7.47</v>
      </c>
      <c r="C20">
        <v>31</v>
      </c>
    </row>
    <row r="21" spans="1:3" x14ac:dyDescent="0.25">
      <c r="A21">
        <v>7007744171</v>
      </c>
      <c r="B21">
        <v>1.1399999999999999</v>
      </c>
      <c r="C21">
        <v>2</v>
      </c>
    </row>
    <row r="22" spans="1:3" x14ac:dyDescent="0.25">
      <c r="A22">
        <v>7086361926</v>
      </c>
      <c r="B22">
        <v>7.55</v>
      </c>
      <c r="C22">
        <v>24</v>
      </c>
    </row>
    <row r="23" spans="1:3" x14ac:dyDescent="0.25">
      <c r="A23">
        <v>8053475328</v>
      </c>
      <c r="B23">
        <v>4.95</v>
      </c>
      <c r="C23">
        <v>3</v>
      </c>
    </row>
    <row r="24" spans="1:3" x14ac:dyDescent="0.25">
      <c r="A24">
        <v>8378563200</v>
      </c>
      <c r="B24">
        <v>7.39</v>
      </c>
      <c r="C24">
        <v>32</v>
      </c>
    </row>
    <row r="25" spans="1:3" x14ac:dyDescent="0.25">
      <c r="A25">
        <v>8792009665</v>
      </c>
      <c r="B25">
        <v>7.26</v>
      </c>
      <c r="C25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EE73-5289-42E5-93ED-5F54B08AE679}">
  <dimension ref="A1:C34"/>
  <sheetViews>
    <sheetView workbookViewId="0">
      <selection activeCell="B2" sqref="B2"/>
    </sheetView>
  </sheetViews>
  <sheetFormatPr defaultRowHeight="15" x14ac:dyDescent="0.25"/>
  <cols>
    <col min="1" max="1" width="11" bestFit="1" customWidth="1"/>
    <col min="2" max="2" width="21.28515625" customWidth="1"/>
    <col min="3" max="3" width="19.28515625" customWidth="1"/>
  </cols>
  <sheetData>
    <row r="1" spans="1:3" x14ac:dyDescent="0.25">
      <c r="A1" t="s">
        <v>0</v>
      </c>
      <c r="B1" t="s">
        <v>5</v>
      </c>
      <c r="C1" t="s">
        <v>11</v>
      </c>
    </row>
    <row r="2" spans="1:3" x14ac:dyDescent="0.25">
      <c r="A2">
        <v>1624580081</v>
      </c>
      <c r="C2">
        <v>31</v>
      </c>
    </row>
    <row r="3" spans="1:3" x14ac:dyDescent="0.25">
      <c r="A3">
        <v>1644430081</v>
      </c>
      <c r="C3">
        <v>30</v>
      </c>
    </row>
    <row r="4" spans="1:3" x14ac:dyDescent="0.25">
      <c r="A4">
        <v>1844505072</v>
      </c>
      <c r="C4">
        <v>31</v>
      </c>
    </row>
    <row r="5" spans="1:3" x14ac:dyDescent="0.25">
      <c r="A5">
        <v>1927972279</v>
      </c>
      <c r="C5">
        <v>31</v>
      </c>
    </row>
    <row r="6" spans="1:3" x14ac:dyDescent="0.25">
      <c r="A6">
        <v>2022484408</v>
      </c>
      <c r="C6">
        <v>31</v>
      </c>
    </row>
    <row r="7" spans="1:3" x14ac:dyDescent="0.25">
      <c r="A7">
        <v>2026352035</v>
      </c>
      <c r="C7">
        <v>31</v>
      </c>
    </row>
    <row r="8" spans="1:3" x14ac:dyDescent="0.25">
      <c r="A8">
        <v>2320127002</v>
      </c>
      <c r="C8">
        <v>31</v>
      </c>
    </row>
    <row r="9" spans="1:3" x14ac:dyDescent="0.25">
      <c r="A9">
        <v>2347167796</v>
      </c>
      <c r="C9">
        <v>18</v>
      </c>
    </row>
    <row r="10" spans="1:3" x14ac:dyDescent="0.25">
      <c r="A10">
        <v>2873212765</v>
      </c>
      <c r="C10">
        <v>31</v>
      </c>
    </row>
    <row r="11" spans="1:3" x14ac:dyDescent="0.25">
      <c r="A11">
        <v>3372868164</v>
      </c>
      <c r="C11">
        <v>20</v>
      </c>
    </row>
    <row r="12" spans="1:3" x14ac:dyDescent="0.25">
      <c r="A12">
        <v>3977333714</v>
      </c>
      <c r="C12">
        <v>30</v>
      </c>
    </row>
    <row r="13" spans="1:3" x14ac:dyDescent="0.25">
      <c r="A13">
        <v>4020332650</v>
      </c>
      <c r="C13">
        <v>31</v>
      </c>
    </row>
    <row r="14" spans="1:3" x14ac:dyDescent="0.25">
      <c r="A14">
        <v>4057192912</v>
      </c>
      <c r="C14">
        <v>4</v>
      </c>
    </row>
    <row r="15" spans="1:3" x14ac:dyDescent="0.25">
      <c r="A15">
        <v>4319703577</v>
      </c>
      <c r="C15">
        <v>31</v>
      </c>
    </row>
    <row r="16" spans="1:3" x14ac:dyDescent="0.25">
      <c r="A16">
        <v>4388161847</v>
      </c>
      <c r="C16">
        <v>31</v>
      </c>
    </row>
    <row r="17" spans="1:3" x14ac:dyDescent="0.25">
      <c r="A17">
        <v>4445114986</v>
      </c>
      <c r="C17">
        <v>31</v>
      </c>
    </row>
    <row r="18" spans="1:3" x14ac:dyDescent="0.25">
      <c r="A18">
        <v>4558609924</v>
      </c>
      <c r="C18">
        <v>31</v>
      </c>
    </row>
    <row r="19" spans="1:3" x14ac:dyDescent="0.25">
      <c r="A19">
        <v>4702921684</v>
      </c>
      <c r="C19">
        <v>31</v>
      </c>
    </row>
    <row r="20" spans="1:3" x14ac:dyDescent="0.25">
      <c r="A20">
        <v>5553957443</v>
      </c>
      <c r="C20">
        <v>31</v>
      </c>
    </row>
    <row r="21" spans="1:3" x14ac:dyDescent="0.25">
      <c r="A21">
        <v>6117666160</v>
      </c>
      <c r="C21">
        <v>28</v>
      </c>
    </row>
    <row r="22" spans="1:3" x14ac:dyDescent="0.25">
      <c r="A22">
        <v>6290855005</v>
      </c>
      <c r="C22">
        <v>29</v>
      </c>
    </row>
    <row r="23" spans="1:3" x14ac:dyDescent="0.25">
      <c r="A23">
        <v>6775888955</v>
      </c>
      <c r="C23">
        <v>26</v>
      </c>
    </row>
    <row r="24" spans="1:3" x14ac:dyDescent="0.25">
      <c r="A24">
        <v>6962181067</v>
      </c>
      <c r="C24">
        <v>31</v>
      </c>
    </row>
    <row r="25" spans="1:3" x14ac:dyDescent="0.25">
      <c r="A25">
        <v>7007744171</v>
      </c>
      <c r="C25">
        <v>26</v>
      </c>
    </row>
    <row r="26" spans="1:3" x14ac:dyDescent="0.25">
      <c r="A26">
        <v>7086361926</v>
      </c>
      <c r="C26">
        <v>31</v>
      </c>
    </row>
    <row r="27" spans="1:3" x14ac:dyDescent="0.25">
      <c r="A27">
        <v>8053475328</v>
      </c>
      <c r="C27">
        <v>31</v>
      </c>
    </row>
    <row r="28" spans="1:3" x14ac:dyDescent="0.25">
      <c r="A28">
        <v>8253242879</v>
      </c>
      <c r="C28">
        <v>19</v>
      </c>
    </row>
    <row r="29" spans="1:3" x14ac:dyDescent="0.25">
      <c r="A29">
        <v>8378563200</v>
      </c>
      <c r="C29">
        <v>31</v>
      </c>
    </row>
    <row r="30" spans="1:3" x14ac:dyDescent="0.25">
      <c r="A30">
        <v>8583815059</v>
      </c>
      <c r="C30">
        <v>31</v>
      </c>
    </row>
    <row r="31" spans="1:3" x14ac:dyDescent="0.25">
      <c r="A31">
        <v>8792009665</v>
      </c>
      <c r="C31">
        <v>29</v>
      </c>
    </row>
    <row r="32" spans="1:3" x14ac:dyDescent="0.25">
      <c r="A32">
        <v>8877689391</v>
      </c>
      <c r="C32">
        <v>31</v>
      </c>
    </row>
    <row r="33" spans="1:3" x14ac:dyDescent="0.25">
      <c r="A33">
        <v>5577150313</v>
      </c>
      <c r="C33">
        <v>30</v>
      </c>
    </row>
    <row r="34" spans="1:3" x14ac:dyDescent="0.25">
      <c r="A34">
        <v>1503960366</v>
      </c>
      <c r="C34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E24E-8920-4E91-A2EB-5539ACAD54A0}">
  <dimension ref="A1:F4"/>
  <sheetViews>
    <sheetView tabSelected="1" workbookViewId="0">
      <selection activeCell="D13" sqref="D13"/>
    </sheetView>
  </sheetViews>
  <sheetFormatPr defaultRowHeight="15" x14ac:dyDescent="0.25"/>
  <cols>
    <col min="1" max="1" width="12.42578125" bestFit="1" customWidth="1"/>
    <col min="2" max="2" width="6.28515625" bestFit="1" customWidth="1"/>
    <col min="3" max="3" width="14.42578125" bestFit="1" customWidth="1"/>
    <col min="4" max="4" width="13.42578125" bestFit="1" customWidth="1"/>
    <col min="5" max="5" width="14.140625" bestFit="1" customWidth="1"/>
    <col min="6" max="6" width="15.140625" bestFit="1" customWidth="1"/>
  </cols>
  <sheetData>
    <row r="1" spans="1:6" x14ac:dyDescent="0.25">
      <c r="A1" t="s">
        <v>18</v>
      </c>
      <c r="B1" s="2" t="s">
        <v>19</v>
      </c>
      <c r="C1" s="2" t="s">
        <v>14</v>
      </c>
      <c r="D1" t="s">
        <v>15</v>
      </c>
      <c r="E1" t="s">
        <v>20</v>
      </c>
      <c r="F1" t="s">
        <v>21</v>
      </c>
    </row>
    <row r="2" spans="1:6" x14ac:dyDescent="0.25">
      <c r="A2" t="s">
        <v>8</v>
      </c>
      <c r="B2" s="3">
        <v>3</v>
      </c>
      <c r="C2" s="2">
        <v>8105.7000000000007</v>
      </c>
      <c r="D2" s="2">
        <v>5537.6000000000013</v>
      </c>
      <c r="E2" s="2">
        <v>-29.633333333333336</v>
      </c>
      <c r="F2" s="2">
        <v>-7.45</v>
      </c>
    </row>
    <row r="3" spans="1:6" x14ac:dyDescent="0.25">
      <c r="A3" t="s">
        <v>10</v>
      </c>
      <c r="B3" s="3">
        <v>7</v>
      </c>
      <c r="C3" s="2">
        <v>8374.1857142857152</v>
      </c>
      <c r="D3" s="2">
        <v>5512.3428571428576</v>
      </c>
      <c r="E3" s="2">
        <v>-38.799999999999997</v>
      </c>
      <c r="F3" s="2">
        <v>-6.4628571428571435</v>
      </c>
    </row>
    <row r="4" spans="1:6" x14ac:dyDescent="0.25">
      <c r="A4" t="s">
        <v>9</v>
      </c>
      <c r="B4" s="3">
        <v>22</v>
      </c>
      <c r="C4" s="2">
        <v>7632.727272727273</v>
      </c>
      <c r="D4" s="2">
        <v>8048.5409090909116</v>
      </c>
      <c r="E4">
        <v>24.05</v>
      </c>
      <c r="F4" s="2">
        <v>-6.1481250000000003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Score</vt:lpstr>
      <vt:lpstr>User Sleep</vt:lpstr>
      <vt:lpstr>Sedantary Report</vt:lpstr>
      <vt:lpstr>Key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2026-04-19T13:54:44Z</dcterms:created>
  <dcterms:modified xsi:type="dcterms:W3CDTF">2026-04-22T07:00:54Z</dcterms:modified>
</cp:coreProperties>
</file>